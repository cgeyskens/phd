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dricgeyskens/Documents/code/phd/candidate-profiling/wb-dev-data/"/>
    </mc:Choice>
  </mc:AlternateContent>
  <xr:revisionPtr revIDLastSave="0" documentId="13_ncr:1_{D19644E6-902D-214F-BDB6-C3BDD1A62230}" xr6:coauthVersionLast="47" xr6:coauthVersionMax="47" xr10:uidLastSave="{00000000-0000-0000-0000-000000000000}"/>
  <bookViews>
    <workbookView xWindow="1980" yWindow="-21000" windowWidth="26480" windowHeight="20900" xr2:uid="{013561FA-236C-4810-B0A1-7A5B93AEA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F2" i="1"/>
  <c r="F17" i="1"/>
  <c r="F18" i="1"/>
  <c r="F19" i="1"/>
  <c r="F20" i="1"/>
  <c r="F21" i="1"/>
  <c r="G18" i="1" l="1"/>
  <c r="G17" i="1"/>
  <c r="G19" i="1"/>
  <c r="G20" i="1"/>
  <c r="G21" i="1"/>
  <c r="F42" i="1"/>
  <c r="F43" i="1"/>
  <c r="F44" i="1"/>
  <c r="F45" i="1"/>
  <c r="F46" i="1"/>
  <c r="F37" i="1"/>
  <c r="F38" i="1"/>
  <c r="F39" i="1"/>
  <c r="F40" i="1"/>
  <c r="F41" i="1"/>
  <c r="F32" i="1"/>
  <c r="F33" i="1"/>
  <c r="F34" i="1"/>
  <c r="F35" i="1"/>
  <c r="F36" i="1"/>
  <c r="F27" i="1"/>
  <c r="F28" i="1"/>
  <c r="F29" i="1"/>
  <c r="F30" i="1"/>
  <c r="F31" i="1"/>
  <c r="F22" i="1"/>
  <c r="F23" i="1"/>
  <c r="F24" i="1"/>
  <c r="F25" i="1"/>
  <c r="F26" i="1"/>
  <c r="F12" i="1"/>
  <c r="F13" i="1"/>
  <c r="F14" i="1"/>
  <c r="F15" i="1"/>
  <c r="F16" i="1"/>
  <c r="F7" i="1"/>
  <c r="F8" i="1"/>
  <c r="F9" i="1"/>
  <c r="F10" i="1"/>
  <c r="F11" i="1"/>
  <c r="G42" i="1" l="1"/>
  <c r="G32" i="1"/>
  <c r="G30" i="1"/>
  <c r="G15" i="1"/>
  <c r="G46" i="1"/>
  <c r="K46" i="1"/>
  <c r="G41" i="1"/>
  <c r="G33" i="1"/>
  <c r="G31" i="1"/>
  <c r="G26" i="1"/>
  <c r="J2" i="1"/>
  <c r="K33" i="1" s="1"/>
  <c r="K26" i="1"/>
  <c r="G13" i="1"/>
  <c r="G14" i="1"/>
  <c r="G16" i="1"/>
  <c r="G11" i="1"/>
  <c r="I2" i="1"/>
  <c r="G43" i="1"/>
  <c r="G44" i="1"/>
  <c r="G45" i="1"/>
  <c r="G37" i="1"/>
  <c r="G38" i="1"/>
  <c r="G39" i="1"/>
  <c r="G40" i="1"/>
  <c r="G34" i="1"/>
  <c r="G35" i="1"/>
  <c r="G27" i="1"/>
  <c r="G28" i="1"/>
  <c r="G29" i="1"/>
  <c r="G22" i="1"/>
  <c r="G23" i="1"/>
  <c r="G24" i="1"/>
  <c r="G25" i="1"/>
  <c r="G12" i="1"/>
  <c r="G7" i="1"/>
  <c r="G8" i="1"/>
  <c r="G9" i="1"/>
  <c r="G10" i="1"/>
  <c r="G36" i="1"/>
  <c r="F3" i="1"/>
  <c r="F4" i="1"/>
  <c r="F5" i="1"/>
  <c r="F6" i="1"/>
  <c r="K25" i="1" l="1"/>
  <c r="K24" i="1"/>
  <c r="K23" i="1"/>
  <c r="K22" i="1"/>
  <c r="K36" i="1"/>
  <c r="K35" i="1"/>
  <c r="K34" i="1"/>
  <c r="K32" i="1"/>
  <c r="K21" i="1"/>
  <c r="K20" i="1"/>
  <c r="K19" i="1"/>
  <c r="K17" i="1"/>
  <c r="K18" i="1"/>
  <c r="K43" i="1"/>
  <c r="K42" i="1"/>
  <c r="K10" i="1"/>
  <c r="K9" i="1"/>
  <c r="K8" i="1"/>
  <c r="K7" i="1"/>
  <c r="K40" i="1"/>
  <c r="K39" i="1"/>
  <c r="K38" i="1"/>
  <c r="K37" i="1"/>
  <c r="K45" i="1"/>
  <c r="K44" i="1"/>
  <c r="K41" i="1"/>
  <c r="K11" i="1"/>
  <c r="G6" i="1"/>
  <c r="H2" i="1"/>
  <c r="K6" i="1" s="1"/>
  <c r="G2" i="1"/>
  <c r="G5" i="1"/>
  <c r="G4" i="1"/>
  <c r="G3" i="1"/>
  <c r="K3" i="1" l="1"/>
  <c r="K5" i="1"/>
  <c r="K4" i="1"/>
  <c r="K16" i="1"/>
  <c r="K14" i="1"/>
  <c r="K13" i="1"/>
  <c r="K31" i="1"/>
  <c r="K15" i="1"/>
  <c r="K12" i="1"/>
  <c r="K30" i="1"/>
  <c r="K29" i="1"/>
  <c r="K28" i="1"/>
  <c r="K27" i="1"/>
</calcChain>
</file>

<file path=xl/sharedStrings.xml><?xml version="1.0" encoding="utf-8"?>
<sst xmlns="http://schemas.openxmlformats.org/spreadsheetml/2006/main" count="101" uniqueCount="19">
  <si>
    <t>experiment</t>
  </si>
  <si>
    <t>age</t>
  </si>
  <si>
    <t>P1</t>
  </si>
  <si>
    <t>P7</t>
  </si>
  <si>
    <t>P14</t>
  </si>
  <si>
    <t>P21</t>
  </si>
  <si>
    <t>P28</t>
  </si>
  <si>
    <t>VCAM1</t>
  </si>
  <si>
    <t>candidate</t>
  </si>
  <si>
    <t>HepaCAM</t>
  </si>
  <si>
    <t>raw_candidate_intensity</t>
  </si>
  <si>
    <t>raw_total_protein_intensity</t>
  </si>
  <si>
    <t>GPR37L1</t>
  </si>
  <si>
    <t>ratio_candidate_total_protein</t>
  </si>
  <si>
    <t>mean_vcam1_p28</t>
  </si>
  <si>
    <t>mean_hepacam_p28</t>
  </si>
  <si>
    <t>mean_gpr37l1_p28</t>
  </si>
  <si>
    <t>ratio_p28_with_var</t>
  </si>
  <si>
    <t>ratio_p28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</si>
</sst>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B766-9451-470A-A8F5-2098A5C97FC6}">
  <dimension ref="A1:K46"/>
  <sheetViews>
    <sheetView tabSelected="1" topLeftCell="A3" zoomScale="116" workbookViewId="0">
      <selection activeCell="I14" sqref="I14"/>
    </sheetView>
  </sheetViews>
  <sheetFormatPr baseColWidth="10" defaultColWidth="8.83203125" defaultRowHeight="15" x14ac:dyDescent="0.2"/>
  <cols>
    <col min="1" max="1" width="11.5" bestFit="1" customWidth="1"/>
    <col min="3" max="3" width="9.6640625" bestFit="1" customWidth="1"/>
    <col min="4" max="4" width="23.33203125" bestFit="1" customWidth="1"/>
    <col min="5" max="5" width="26.5" bestFit="1" customWidth="1"/>
    <col min="6" max="6" width="29" bestFit="1" customWidth="1"/>
    <col min="7" max="7" width="13.1640625" bestFit="1" customWidth="1"/>
    <col min="8" max="8" width="16" customWidth="1"/>
    <col min="9" max="9" width="17" bestFit="1" customWidth="1"/>
    <col min="10" max="10" width="16" bestFit="1" customWidth="1"/>
    <col min="11" max="11" width="17.33203125" customWidth="1"/>
  </cols>
  <sheetData>
    <row r="1" spans="1:11" x14ac:dyDescent="0.2">
      <c r="A1" t="s">
        <v>0</v>
      </c>
      <c r="B1" t="s">
        <v>1</v>
      </c>
      <c r="C1" t="s">
        <v>8</v>
      </c>
      <c r="D1" t="s">
        <v>10</v>
      </c>
      <c r="E1" t="s">
        <v>11</v>
      </c>
      <c r="F1" t="s">
        <v>13</v>
      </c>
      <c r="G1" t="s">
        <v>18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2">
      <c r="A2">
        <v>4</v>
      </c>
      <c r="B2" t="s">
        <v>2</v>
      </c>
      <c r="C2" t="s">
        <v>7</v>
      </c>
      <c r="D2" s="1">
        <v>8979.9950000000008</v>
      </c>
      <c r="E2" s="1">
        <v>74849.180999999997</v>
      </c>
      <c r="F2" s="1">
        <f>D2/E2</f>
        <v>0.1199745258401692</v>
      </c>
      <c r="G2" s="1">
        <f>F2/$F$6</f>
        <v>0.78607634269432802</v>
      </c>
      <c r="H2" s="1">
        <f>AVERAGE(F6,F16,F31)</f>
        <v>0.11792004578279558</v>
      </c>
      <c r="I2" s="1">
        <f>AVERAGE(F11,F41,F46)</f>
        <v>0.15485144765430148</v>
      </c>
      <c r="J2" s="1">
        <f>AVERAGE(F21,F26,F36)</f>
        <v>0.6517118229360902</v>
      </c>
      <c r="K2" s="1">
        <f>F2/$H$2</f>
        <v>1.0174226531522714</v>
      </c>
    </row>
    <row r="3" spans="1:11" x14ac:dyDescent="0.2">
      <c r="A3">
        <v>4</v>
      </c>
      <c r="B3" t="s">
        <v>3</v>
      </c>
      <c r="C3" t="s">
        <v>7</v>
      </c>
      <c r="D3" s="1">
        <v>15537.986000000001</v>
      </c>
      <c r="E3" s="1">
        <v>82339.373000000007</v>
      </c>
      <c r="F3" s="1">
        <f t="shared" ref="F3:F46" si="0">D3/E3</f>
        <v>0.18870663491693093</v>
      </c>
      <c r="G3" s="1">
        <f t="shared" ref="G3:G6" si="1">F3/$F$6</f>
        <v>1.2364109829054162</v>
      </c>
      <c r="K3" s="1">
        <f t="shared" ref="K3:K6" si="2">F3/$H$2</f>
        <v>1.6002930940556253</v>
      </c>
    </row>
    <row r="4" spans="1:11" x14ac:dyDescent="0.2">
      <c r="A4">
        <v>4</v>
      </c>
      <c r="B4" t="s">
        <v>4</v>
      </c>
      <c r="C4" t="s">
        <v>7</v>
      </c>
      <c r="D4" s="1">
        <v>17773.572</v>
      </c>
      <c r="E4" s="1">
        <v>74157.373000000007</v>
      </c>
      <c r="F4" s="1">
        <f t="shared" si="0"/>
        <v>0.23967370041546643</v>
      </c>
      <c r="G4" s="1">
        <f t="shared" si="1"/>
        <v>1.5703485764436025</v>
      </c>
      <c r="K4" s="1">
        <f t="shared" si="2"/>
        <v>2.0325102388183995</v>
      </c>
    </row>
    <row r="5" spans="1:11" x14ac:dyDescent="0.2">
      <c r="A5">
        <v>4</v>
      </c>
      <c r="B5" t="s">
        <v>5</v>
      </c>
      <c r="C5" t="s">
        <v>7</v>
      </c>
      <c r="D5" s="1">
        <v>13263.087</v>
      </c>
      <c r="E5" s="1">
        <v>72497.665999999997</v>
      </c>
      <c r="F5" s="1">
        <f t="shared" si="0"/>
        <v>0.18294502060245635</v>
      </c>
      <c r="G5" s="1">
        <f t="shared" si="1"/>
        <v>1.1986607298694416</v>
      </c>
      <c r="K5" s="1">
        <f t="shared" si="2"/>
        <v>1.5514327474010179</v>
      </c>
    </row>
    <row r="6" spans="1:11" x14ac:dyDescent="0.2">
      <c r="A6">
        <v>4</v>
      </c>
      <c r="B6" t="s">
        <v>6</v>
      </c>
      <c r="C6" t="s">
        <v>7</v>
      </c>
      <c r="D6" s="1">
        <v>9571.4089999999997</v>
      </c>
      <c r="E6" s="1">
        <v>62712.131000000001</v>
      </c>
      <c r="F6" s="1">
        <f t="shared" si="0"/>
        <v>0.15262452172132374</v>
      </c>
      <c r="G6" s="1">
        <f t="shared" si="1"/>
        <v>1</v>
      </c>
      <c r="K6" s="1">
        <f t="shared" si="2"/>
        <v>1.2943051430157391</v>
      </c>
    </row>
    <row r="7" spans="1:11" x14ac:dyDescent="0.2">
      <c r="A7">
        <v>4</v>
      </c>
      <c r="B7" t="s">
        <v>2</v>
      </c>
      <c r="C7" t="s">
        <v>9</v>
      </c>
      <c r="D7">
        <v>1108.82</v>
      </c>
      <c r="E7" s="1">
        <v>74849.180999999997</v>
      </c>
      <c r="F7" s="1">
        <f>D7/E7</f>
        <v>1.4814056549262709E-2</v>
      </c>
      <c r="G7" s="1">
        <f>F7/$F$11</f>
        <v>8.4438673686530852E-2</v>
      </c>
      <c r="K7" s="1">
        <f>F7/$I$2</f>
        <v>9.5666245125033564E-2</v>
      </c>
    </row>
    <row r="8" spans="1:11" x14ac:dyDescent="0.2">
      <c r="A8">
        <v>4</v>
      </c>
      <c r="B8" t="s">
        <v>3</v>
      </c>
      <c r="C8" t="s">
        <v>9</v>
      </c>
      <c r="D8">
        <v>3148.125</v>
      </c>
      <c r="E8" s="1">
        <v>82339.373000000007</v>
      </c>
      <c r="F8" s="1">
        <f t="shared" si="0"/>
        <v>3.8233531362936168E-2</v>
      </c>
      <c r="G8" s="1">
        <f t="shared" ref="G8:G11" si="3">F8/$F$11</f>
        <v>0.21792738996931843</v>
      </c>
      <c r="K8" s="1">
        <f t="shared" ref="K8:K11" si="4">F8/$I$2</f>
        <v>0.24690457817540534</v>
      </c>
    </row>
    <row r="9" spans="1:11" x14ac:dyDescent="0.2">
      <c r="A9">
        <v>4</v>
      </c>
      <c r="B9" t="s">
        <v>4</v>
      </c>
      <c r="C9" t="s">
        <v>9</v>
      </c>
      <c r="D9">
        <v>8833.51</v>
      </c>
      <c r="E9" s="1">
        <v>74157.373000000007</v>
      </c>
      <c r="F9" s="1">
        <f t="shared" si="0"/>
        <v>0.11911843209440549</v>
      </c>
      <c r="G9" s="1">
        <f t="shared" si="3"/>
        <v>0.67896341452613684</v>
      </c>
      <c r="K9" s="1">
        <f>F9/$I$2</f>
        <v>0.76924325796638171</v>
      </c>
    </row>
    <row r="10" spans="1:11" x14ac:dyDescent="0.2">
      <c r="A10">
        <v>4</v>
      </c>
      <c r="B10" t="s">
        <v>5</v>
      </c>
      <c r="C10" t="s">
        <v>9</v>
      </c>
      <c r="D10">
        <v>12994.288</v>
      </c>
      <c r="E10" s="1">
        <v>72497.665999999997</v>
      </c>
      <c r="F10" s="1">
        <f t="shared" si="0"/>
        <v>0.17923732882655838</v>
      </c>
      <c r="G10" s="1">
        <f t="shared" si="3"/>
        <v>1.0216352469630903</v>
      </c>
      <c r="K10" s="1">
        <f t="shared" si="4"/>
        <v>1.1574791940382581</v>
      </c>
    </row>
    <row r="11" spans="1:11" x14ac:dyDescent="0.2">
      <c r="A11">
        <v>4</v>
      </c>
      <c r="B11" t="s">
        <v>6</v>
      </c>
      <c r="C11" t="s">
        <v>9</v>
      </c>
      <c r="D11">
        <v>11002.316999999999</v>
      </c>
      <c r="E11" s="1">
        <v>62712.131000000001</v>
      </c>
      <c r="F11" s="1">
        <f t="shared" si="0"/>
        <v>0.17544160634566858</v>
      </c>
      <c r="G11" s="1">
        <f t="shared" si="3"/>
        <v>1</v>
      </c>
      <c r="K11" s="1">
        <f t="shared" si="4"/>
        <v>1.1329671695245216</v>
      </c>
    </row>
    <row r="12" spans="1:11" x14ac:dyDescent="0.2">
      <c r="A12">
        <v>5</v>
      </c>
      <c r="B12" t="s">
        <v>2</v>
      </c>
      <c r="C12" t="s">
        <v>7</v>
      </c>
      <c r="D12">
        <v>5656.8530000000001</v>
      </c>
      <c r="E12">
        <v>39645.256999999998</v>
      </c>
      <c r="F12" s="1">
        <f t="shared" si="0"/>
        <v>0.14268675317201249</v>
      </c>
      <c r="G12" s="1">
        <f>F12/$F$16</f>
        <v>0.84823906927321924</v>
      </c>
      <c r="K12" s="1">
        <f>F12/$H$2</f>
        <v>1.2100296622580717</v>
      </c>
    </row>
    <row r="13" spans="1:11" x14ac:dyDescent="0.2">
      <c r="A13">
        <v>5</v>
      </c>
      <c r="B13" t="s">
        <v>3</v>
      </c>
      <c r="C13" t="s">
        <v>7</v>
      </c>
      <c r="D13">
        <v>11749.137000000001</v>
      </c>
      <c r="E13">
        <v>47034.277999999998</v>
      </c>
      <c r="F13" s="1">
        <f t="shared" si="0"/>
        <v>0.24979945477211324</v>
      </c>
      <c r="G13" s="1">
        <f>F13/$F$16</f>
        <v>1.4849987984898403</v>
      </c>
      <c r="K13" s="1">
        <f t="shared" ref="K13:K16" si="5">F13/$H$2</f>
        <v>2.118379899819872</v>
      </c>
    </row>
    <row r="14" spans="1:11" x14ac:dyDescent="0.2">
      <c r="A14">
        <v>5</v>
      </c>
      <c r="B14" t="s">
        <v>4</v>
      </c>
      <c r="C14" t="s">
        <v>7</v>
      </c>
      <c r="D14">
        <v>16596.865000000002</v>
      </c>
      <c r="E14">
        <v>56252.411</v>
      </c>
      <c r="F14" s="1">
        <f t="shared" si="0"/>
        <v>0.29504273159065131</v>
      </c>
      <c r="G14" s="1">
        <f>F14/$F$16</f>
        <v>1.7539594004117494</v>
      </c>
      <c r="K14" s="1">
        <f>F14/$H$2</f>
        <v>2.5020574715015735</v>
      </c>
    </row>
    <row r="15" spans="1:11" x14ac:dyDescent="0.2">
      <c r="A15">
        <v>5</v>
      </c>
      <c r="B15" t="s">
        <v>5</v>
      </c>
      <c r="C15" t="s">
        <v>7</v>
      </c>
      <c r="D15">
        <v>10252.602000000001</v>
      </c>
      <c r="E15">
        <v>47597.046999999999</v>
      </c>
      <c r="F15" s="1">
        <f t="shared" si="0"/>
        <v>0.2154041615228777</v>
      </c>
      <c r="G15" s="1">
        <f>F15/$F$16</f>
        <v>1.28052689843939</v>
      </c>
      <c r="K15" s="1">
        <f t="shared" si="5"/>
        <v>1.8266967256749909</v>
      </c>
    </row>
    <row r="16" spans="1:11" x14ac:dyDescent="0.2">
      <c r="A16">
        <v>5</v>
      </c>
      <c r="B16" t="s">
        <v>6</v>
      </c>
      <c r="C16" t="s">
        <v>7</v>
      </c>
      <c r="D16">
        <v>8376.652</v>
      </c>
      <c r="E16">
        <v>49797.218999999997</v>
      </c>
      <c r="F16" s="1">
        <f t="shared" si="0"/>
        <v>0.1682152571612483</v>
      </c>
      <c r="G16" s="1">
        <f>F16/$F$16</f>
        <v>1</v>
      </c>
      <c r="K16" s="1">
        <f t="shared" si="5"/>
        <v>1.4265196052509568</v>
      </c>
    </row>
    <row r="17" spans="1:11" x14ac:dyDescent="0.2">
      <c r="A17">
        <v>5</v>
      </c>
      <c r="B17" t="s">
        <v>2</v>
      </c>
      <c r="C17" t="s">
        <v>12</v>
      </c>
      <c r="D17">
        <v>6157.4179999999997</v>
      </c>
      <c r="E17">
        <v>39645.256999999998</v>
      </c>
      <c r="F17" s="1">
        <f t="shared" si="0"/>
        <v>0.15531285369142644</v>
      </c>
      <c r="G17" s="1">
        <f>F17/$F$21</f>
        <v>0.44685451927353509</v>
      </c>
      <c r="K17" s="1">
        <f>F17/$J$2</f>
        <v>0.23831523109663935</v>
      </c>
    </row>
    <row r="18" spans="1:11" x14ac:dyDescent="0.2">
      <c r="A18">
        <v>5</v>
      </c>
      <c r="B18" t="s">
        <v>3</v>
      </c>
      <c r="C18" t="s">
        <v>12</v>
      </c>
      <c r="D18">
        <v>5766.3469999999998</v>
      </c>
      <c r="E18">
        <v>47034.277999999998</v>
      </c>
      <c r="F18" s="1">
        <f t="shared" si="0"/>
        <v>0.12259882037521656</v>
      </c>
      <c r="G18" s="1">
        <f t="shared" ref="G18:G21" si="6">F18/$F$21</f>
        <v>0.35273215088246135</v>
      </c>
      <c r="K18" s="1">
        <f t="shared" ref="K18:K26" si="7">F18/$J$2</f>
        <v>0.18811814679513519</v>
      </c>
    </row>
    <row r="19" spans="1:11" x14ac:dyDescent="0.2">
      <c r="A19">
        <v>5</v>
      </c>
      <c r="B19" t="s">
        <v>4</v>
      </c>
      <c r="C19" t="s">
        <v>12</v>
      </c>
      <c r="D19">
        <v>20291.877</v>
      </c>
      <c r="E19">
        <v>56252.411</v>
      </c>
      <c r="F19" s="1">
        <f t="shared" si="0"/>
        <v>0.36072901835265336</v>
      </c>
      <c r="G19" s="1">
        <f t="shared" si="6"/>
        <v>1.0378625352171178</v>
      </c>
      <c r="K19" s="1">
        <f t="shared" si="7"/>
        <v>0.55351001110812759</v>
      </c>
    </row>
    <row r="20" spans="1:11" x14ac:dyDescent="0.2">
      <c r="A20">
        <v>5</v>
      </c>
      <c r="B20" t="s">
        <v>5</v>
      </c>
      <c r="C20" t="s">
        <v>12</v>
      </c>
      <c r="D20">
        <v>18491.22</v>
      </c>
      <c r="E20">
        <v>47597.046999999999</v>
      </c>
      <c r="F20" s="1">
        <f t="shared" si="0"/>
        <v>0.38849510979115998</v>
      </c>
      <c r="G20" s="1">
        <f t="shared" si="6"/>
        <v>1.1177490555337799</v>
      </c>
      <c r="K20" s="1">
        <f t="shared" si="7"/>
        <v>0.59611487181698342</v>
      </c>
    </row>
    <row r="21" spans="1:11" x14ac:dyDescent="0.2">
      <c r="A21">
        <v>5</v>
      </c>
      <c r="B21" t="s">
        <v>6</v>
      </c>
      <c r="C21" t="s">
        <v>12</v>
      </c>
      <c r="D21">
        <v>17307.977999999999</v>
      </c>
      <c r="E21">
        <v>49797.218999999997</v>
      </c>
      <c r="F21" s="1">
        <f t="shared" si="0"/>
        <v>0.34756916847103447</v>
      </c>
      <c r="G21" s="1">
        <f t="shared" si="6"/>
        <v>1</v>
      </c>
      <c r="K21" s="1">
        <f t="shared" si="7"/>
        <v>0.53331726729333662</v>
      </c>
    </row>
    <row r="22" spans="1:11" x14ac:dyDescent="0.2">
      <c r="A22">
        <v>7</v>
      </c>
      <c r="B22" t="s">
        <v>2</v>
      </c>
      <c r="C22" t="s">
        <v>12</v>
      </c>
      <c r="D22">
        <v>17508.53</v>
      </c>
      <c r="E22">
        <v>25061.739000000001</v>
      </c>
      <c r="F22" s="1">
        <f t="shared" si="0"/>
        <v>0.69861592605365486</v>
      </c>
      <c r="G22" s="1">
        <f>F22/$F$26</f>
        <v>0.45039841729186897</v>
      </c>
      <c r="K22" s="1">
        <f t="shared" si="7"/>
        <v>1.0719706187103564</v>
      </c>
    </row>
    <row r="23" spans="1:11" x14ac:dyDescent="0.2">
      <c r="A23">
        <v>7</v>
      </c>
      <c r="B23" t="s">
        <v>3</v>
      </c>
      <c r="C23" t="s">
        <v>12</v>
      </c>
      <c r="D23">
        <v>26019.370999999999</v>
      </c>
      <c r="E23">
        <v>29979.194</v>
      </c>
      <c r="F23" s="1">
        <f t="shared" si="0"/>
        <v>0.86791429416014321</v>
      </c>
      <c r="G23" s="1">
        <f t="shared" ref="G23:G26" si="8">F23/$F$26</f>
        <v>0.55954525205698757</v>
      </c>
      <c r="K23" s="1">
        <f t="shared" si="7"/>
        <v>1.3317455102318356</v>
      </c>
    </row>
    <row r="24" spans="1:11" x14ac:dyDescent="0.2">
      <c r="A24">
        <v>7</v>
      </c>
      <c r="B24" t="s">
        <v>4</v>
      </c>
      <c r="C24" t="s">
        <v>12</v>
      </c>
      <c r="D24">
        <v>64723.775000000001</v>
      </c>
      <c r="E24">
        <v>40927.892999999996</v>
      </c>
      <c r="F24" s="1">
        <f t="shared" si="0"/>
        <v>1.58140989569143</v>
      </c>
      <c r="G24" s="1">
        <f t="shared" si="8"/>
        <v>1.0195366116724007</v>
      </c>
      <c r="K24" s="1">
        <f t="shared" si="7"/>
        <v>2.4265478084575278</v>
      </c>
    </row>
    <row r="25" spans="1:11" x14ac:dyDescent="0.2">
      <c r="A25">
        <v>7</v>
      </c>
      <c r="B25" t="s">
        <v>5</v>
      </c>
      <c r="C25" t="s">
        <v>12</v>
      </c>
      <c r="D25">
        <v>60728.591</v>
      </c>
      <c r="E25">
        <v>28784.123</v>
      </c>
      <c r="F25" s="1">
        <f t="shared" si="0"/>
        <v>2.1097947295458681</v>
      </c>
      <c r="G25" s="1">
        <f t="shared" si="8"/>
        <v>1.3601868660022576</v>
      </c>
      <c r="K25" s="1">
        <f t="shared" si="7"/>
        <v>3.2373123446507801</v>
      </c>
    </row>
    <row r="26" spans="1:11" x14ac:dyDescent="0.2">
      <c r="A26">
        <v>7</v>
      </c>
      <c r="B26" t="s">
        <v>6</v>
      </c>
      <c r="C26" t="s">
        <v>12</v>
      </c>
      <c r="D26">
        <v>60175.076999999997</v>
      </c>
      <c r="E26">
        <v>38794.934999999998</v>
      </c>
      <c r="F26" s="1">
        <f t="shared" si="0"/>
        <v>1.5511065297570417</v>
      </c>
      <c r="G26" s="1">
        <f t="shared" si="8"/>
        <v>1</v>
      </c>
      <c r="K26" s="1">
        <f t="shared" si="7"/>
        <v>2.380049701674892</v>
      </c>
    </row>
    <row r="27" spans="1:11" x14ac:dyDescent="0.2">
      <c r="A27">
        <v>8</v>
      </c>
      <c r="B27" t="s">
        <v>2</v>
      </c>
      <c r="C27" t="s">
        <v>7</v>
      </c>
      <c r="D27">
        <v>4716.4889999999996</v>
      </c>
      <c r="E27">
        <v>266145.05699999997</v>
      </c>
      <c r="F27" s="1">
        <f t="shared" si="0"/>
        <v>1.7721497641791633E-2</v>
      </c>
      <c r="G27" s="1">
        <f>F27/$F$31</f>
        <v>0.53831423677218015</v>
      </c>
      <c r="K27" s="1">
        <f>F27/$H$2</f>
        <v>0.15028401256249496</v>
      </c>
    </row>
    <row r="28" spans="1:11" x14ac:dyDescent="0.2">
      <c r="A28">
        <v>8</v>
      </c>
      <c r="B28" t="s">
        <v>3</v>
      </c>
      <c r="C28" t="s">
        <v>7</v>
      </c>
      <c r="D28">
        <v>13793.38</v>
      </c>
      <c r="E28">
        <v>324452.84700000001</v>
      </c>
      <c r="F28" s="1">
        <f t="shared" si="0"/>
        <v>4.2512741458545437E-2</v>
      </c>
      <c r="G28" s="1">
        <f t="shared" ref="G28:G31" si="9">F28/$F$31</f>
        <v>1.2913814867080402</v>
      </c>
      <c r="K28" s="1">
        <f t="shared" ref="K28:K31" si="10">F28/$H$2</f>
        <v>0.36052175163544592</v>
      </c>
    </row>
    <row r="29" spans="1:11" x14ac:dyDescent="0.2">
      <c r="A29">
        <v>8</v>
      </c>
      <c r="B29" t="s">
        <v>4</v>
      </c>
      <c r="C29" t="s">
        <v>7</v>
      </c>
      <c r="D29">
        <v>17814.157999999999</v>
      </c>
      <c r="E29">
        <v>363422.13099999999</v>
      </c>
      <c r="F29" s="1">
        <f t="shared" si="0"/>
        <v>4.901781284200328E-2</v>
      </c>
      <c r="G29" s="1">
        <f t="shared" si="9"/>
        <v>1.4889817464443631</v>
      </c>
      <c r="K29" s="1">
        <f t="shared" si="10"/>
        <v>0.41568685388990012</v>
      </c>
    </row>
    <row r="30" spans="1:11" x14ac:dyDescent="0.2">
      <c r="A30">
        <v>8</v>
      </c>
      <c r="B30" t="s">
        <v>5</v>
      </c>
      <c r="C30" t="s">
        <v>7</v>
      </c>
      <c r="D30">
        <v>10766.187</v>
      </c>
      <c r="E30">
        <v>299805.33199999999</v>
      </c>
      <c r="F30" s="1">
        <f t="shared" si="0"/>
        <v>3.5910592143838189E-2</v>
      </c>
      <c r="G30" s="1">
        <f t="shared" si="9"/>
        <v>1.0908323547305414</v>
      </c>
      <c r="K30" s="1">
        <f t="shared" si="10"/>
        <v>0.30453339723073197</v>
      </c>
    </row>
    <row r="31" spans="1:11" x14ac:dyDescent="0.2">
      <c r="A31">
        <v>8</v>
      </c>
      <c r="B31" t="s">
        <v>6</v>
      </c>
      <c r="C31" t="s">
        <v>7</v>
      </c>
      <c r="D31">
        <v>11698.673000000001</v>
      </c>
      <c r="E31">
        <v>355362.86800000002</v>
      </c>
      <c r="F31" s="1">
        <f t="shared" si="0"/>
        <v>3.2920358465814724E-2</v>
      </c>
      <c r="G31" s="1">
        <f t="shared" si="9"/>
        <v>1</v>
      </c>
      <c r="K31" s="1">
        <f t="shared" si="10"/>
        <v>0.27917525173330432</v>
      </c>
    </row>
    <row r="32" spans="1:11" x14ac:dyDescent="0.2">
      <c r="A32">
        <v>8</v>
      </c>
      <c r="B32" t="s">
        <v>2</v>
      </c>
      <c r="C32" t="s">
        <v>12</v>
      </c>
      <c r="D32">
        <v>7661.56</v>
      </c>
      <c r="E32">
        <v>266145.05699999997</v>
      </c>
      <c r="F32" s="1">
        <f t="shared" si="0"/>
        <v>2.8787158726002571E-2</v>
      </c>
      <c r="G32" s="1">
        <f>F32/$F$36</f>
        <v>0.50987027453669331</v>
      </c>
      <c r="K32" s="1">
        <f>F32/$J$2</f>
        <v>4.4171607316115191E-2</v>
      </c>
    </row>
    <row r="33" spans="1:11" x14ac:dyDescent="0.2">
      <c r="A33">
        <v>8</v>
      </c>
      <c r="B33" t="s">
        <v>3</v>
      </c>
      <c r="C33" t="s">
        <v>12</v>
      </c>
      <c r="D33">
        <v>11141.43</v>
      </c>
      <c r="E33">
        <v>324452.84700000001</v>
      </c>
      <c r="F33" s="1">
        <f t="shared" si="0"/>
        <v>3.4339134647815246E-2</v>
      </c>
      <c r="G33" s="1">
        <f t="shared" ref="G33:G36" si="11">F33/$F$36</f>
        <v>0.60820535214609894</v>
      </c>
      <c r="K33" s="1">
        <f t="shared" ref="K33:K36" si="12">F33/$J$2</f>
        <v>5.2690673146162485E-2</v>
      </c>
    </row>
    <row r="34" spans="1:11" x14ac:dyDescent="0.2">
      <c r="A34">
        <v>8</v>
      </c>
      <c r="B34" t="s">
        <v>4</v>
      </c>
      <c r="C34" t="s">
        <v>12</v>
      </c>
      <c r="D34">
        <v>25690.342000000001</v>
      </c>
      <c r="E34">
        <v>363422.13099999999</v>
      </c>
      <c r="F34" s="1">
        <f t="shared" si="0"/>
        <v>7.0690086840088456E-2</v>
      </c>
      <c r="G34" s="1">
        <f t="shared" si="11"/>
        <v>1.2520434658812731</v>
      </c>
      <c r="K34" s="1">
        <f t="shared" si="12"/>
        <v>0.10846832043281904</v>
      </c>
    </row>
    <row r="35" spans="1:11" x14ac:dyDescent="0.2">
      <c r="A35">
        <v>8</v>
      </c>
      <c r="B35" t="s">
        <v>5</v>
      </c>
      <c r="C35" t="s">
        <v>12</v>
      </c>
      <c r="D35">
        <v>20045.413</v>
      </c>
      <c r="E35">
        <v>299805.33199999999</v>
      </c>
      <c r="F35" s="1">
        <f t="shared" si="0"/>
        <v>6.6861429269043163E-2</v>
      </c>
      <c r="G35" s="1">
        <f t="shared" si="11"/>
        <v>1.1842313311222925</v>
      </c>
      <c r="K35" s="1">
        <f t="shared" si="12"/>
        <v>0.10259354965791359</v>
      </c>
    </row>
    <row r="36" spans="1:11" x14ac:dyDescent="0.2">
      <c r="A36">
        <v>8</v>
      </c>
      <c r="B36" t="s">
        <v>6</v>
      </c>
      <c r="C36" t="s">
        <v>12</v>
      </c>
      <c r="D36">
        <v>20063.705999999998</v>
      </c>
      <c r="E36">
        <v>355362.86800000002</v>
      </c>
      <c r="F36" s="1">
        <f t="shared" si="0"/>
        <v>5.6459770580194656E-2</v>
      </c>
      <c r="G36" s="1">
        <f t="shared" si="11"/>
        <v>1</v>
      </c>
      <c r="K36" s="1">
        <f t="shared" si="12"/>
        <v>8.6633031031771474E-2</v>
      </c>
    </row>
    <row r="37" spans="1:11" x14ac:dyDescent="0.2">
      <c r="A37">
        <v>8</v>
      </c>
      <c r="B37" t="s">
        <v>2</v>
      </c>
      <c r="C37" t="s">
        <v>9</v>
      </c>
      <c r="D37">
        <v>287.84899999999999</v>
      </c>
      <c r="E37">
        <v>266145.05699999997</v>
      </c>
      <c r="F37" s="1">
        <f t="shared" si="0"/>
        <v>1.0815492996362507E-3</v>
      </c>
      <c r="G37" s="1">
        <f>F37/$F$41</f>
        <v>2.5818904659238487E-2</v>
      </c>
      <c r="K37" s="1">
        <f>F37/$I$2</f>
        <v>6.9844313115545315E-3</v>
      </c>
    </row>
    <row r="38" spans="1:11" x14ac:dyDescent="0.2">
      <c r="A38">
        <v>8</v>
      </c>
      <c r="B38" t="s">
        <v>3</v>
      </c>
      <c r="C38" t="s">
        <v>9</v>
      </c>
      <c r="D38">
        <v>2613.8110000000001</v>
      </c>
      <c r="E38">
        <v>324452.84700000001</v>
      </c>
      <c r="F38" s="1">
        <f t="shared" si="0"/>
        <v>8.0560581427106415E-3</v>
      </c>
      <c r="G38" s="1">
        <f t="shared" ref="G38:G41" si="13">F38/$F$41</f>
        <v>0.19231541011203329</v>
      </c>
      <c r="K38" s="1">
        <f t="shared" ref="K38:K46" si="14">F38/$I$2</f>
        <v>5.2024428991425446E-2</v>
      </c>
    </row>
    <row r="39" spans="1:11" x14ac:dyDescent="0.2">
      <c r="A39">
        <v>8</v>
      </c>
      <c r="B39" t="s">
        <v>4</v>
      </c>
      <c r="C39" t="s">
        <v>9</v>
      </c>
      <c r="D39">
        <v>8396.48</v>
      </c>
      <c r="E39">
        <v>363422.13099999999</v>
      </c>
      <c r="F39" s="1">
        <f t="shared" si="0"/>
        <v>2.3103931444395168E-2</v>
      </c>
      <c r="G39" s="1">
        <f t="shared" si="13"/>
        <v>0.55154046460669282</v>
      </c>
      <c r="K39" s="1">
        <f t="shared" si="14"/>
        <v>0.14920061642545054</v>
      </c>
    </row>
    <row r="40" spans="1:11" x14ac:dyDescent="0.2">
      <c r="A40">
        <v>8</v>
      </c>
      <c r="B40" t="s">
        <v>5</v>
      </c>
      <c r="C40" t="s">
        <v>9</v>
      </c>
      <c r="D40">
        <v>10285.723</v>
      </c>
      <c r="E40">
        <v>299805.33199999999</v>
      </c>
      <c r="F40" s="1">
        <f t="shared" si="0"/>
        <v>3.43080055694273E-2</v>
      </c>
      <c r="G40" s="1">
        <f t="shared" si="13"/>
        <v>0.81900577730814417</v>
      </c>
      <c r="K40" s="1">
        <f t="shared" si="14"/>
        <v>0.22155430956007785</v>
      </c>
    </row>
    <row r="41" spans="1:11" x14ac:dyDescent="0.2">
      <c r="A41">
        <v>8</v>
      </c>
      <c r="B41" t="s">
        <v>6</v>
      </c>
      <c r="C41" t="s">
        <v>9</v>
      </c>
      <c r="D41">
        <v>14886.087</v>
      </c>
      <c r="E41">
        <v>355362.86800000002</v>
      </c>
      <c r="F41" s="1">
        <f t="shared" si="0"/>
        <v>4.1889821195387242E-2</v>
      </c>
      <c r="G41" s="1">
        <f t="shared" si="13"/>
        <v>1</v>
      </c>
      <c r="K41" s="1">
        <f t="shared" si="14"/>
        <v>0.27051617424271218</v>
      </c>
    </row>
    <row r="42" spans="1:11" x14ac:dyDescent="0.2">
      <c r="A42">
        <v>9</v>
      </c>
      <c r="B42" t="s">
        <v>2</v>
      </c>
      <c r="C42" t="s">
        <v>9</v>
      </c>
      <c r="D42">
        <v>1614.7190000000001</v>
      </c>
      <c r="E42">
        <v>49286.148000000001</v>
      </c>
      <c r="F42" s="1">
        <f t="shared" si="0"/>
        <v>3.2762126186043183E-2</v>
      </c>
      <c r="G42" s="1">
        <f>F42/$F$46</f>
        <v>0.13252058827208457</v>
      </c>
      <c r="K42" s="1">
        <f t="shared" si="14"/>
        <v>0.21157132647014756</v>
      </c>
    </row>
    <row r="43" spans="1:11" x14ac:dyDescent="0.2">
      <c r="A43">
        <v>9</v>
      </c>
      <c r="B43" t="s">
        <v>3</v>
      </c>
      <c r="C43" t="s">
        <v>9</v>
      </c>
      <c r="D43">
        <v>4574.8029999999999</v>
      </c>
      <c r="E43">
        <v>59179.745999999999</v>
      </c>
      <c r="F43" s="1">
        <f t="shared" si="0"/>
        <v>7.7303525432501852E-2</v>
      </c>
      <c r="G43" s="1">
        <f t="shared" ref="G43:G46" si="15">F43/$F$46</f>
        <v>0.31268754071844457</v>
      </c>
      <c r="K43" s="1">
        <f t="shared" si="14"/>
        <v>0.49921086695345795</v>
      </c>
    </row>
    <row r="44" spans="1:11" x14ac:dyDescent="0.2">
      <c r="A44">
        <v>9</v>
      </c>
      <c r="B44" t="s">
        <v>4</v>
      </c>
      <c r="C44" t="s">
        <v>9</v>
      </c>
      <c r="D44">
        <v>7950.8230000000003</v>
      </c>
      <c r="E44">
        <v>60179.745999999999</v>
      </c>
      <c r="F44" s="1">
        <f t="shared" si="0"/>
        <v>0.13211792219927282</v>
      </c>
      <c r="G44" s="1">
        <f t="shared" si="15"/>
        <v>0.53440807448546401</v>
      </c>
      <c r="K44" s="1">
        <f t="shared" si="14"/>
        <v>0.85319139214132389</v>
      </c>
    </row>
    <row r="45" spans="1:11" x14ac:dyDescent="0.2">
      <c r="A45">
        <v>9</v>
      </c>
      <c r="B45" t="s">
        <v>5</v>
      </c>
      <c r="C45" t="s">
        <v>9</v>
      </c>
      <c r="D45">
        <v>9451.9240000000009</v>
      </c>
      <c r="E45">
        <v>55734.533000000003</v>
      </c>
      <c r="F45" s="1">
        <f t="shared" si="0"/>
        <v>0.16958828739087131</v>
      </c>
      <c r="G45" s="1">
        <f t="shared" si="15"/>
        <v>0.68597317162729232</v>
      </c>
      <c r="K45" s="1">
        <f t="shared" si="14"/>
        <v>1.09516759423179</v>
      </c>
    </row>
    <row r="46" spans="1:11" x14ac:dyDescent="0.2">
      <c r="A46">
        <v>9</v>
      </c>
      <c r="B46" t="s">
        <v>6</v>
      </c>
      <c r="C46" t="s">
        <v>9</v>
      </c>
      <c r="D46">
        <v>11907.823</v>
      </c>
      <c r="E46">
        <v>48166.34</v>
      </c>
      <c r="F46" s="1">
        <f t="shared" si="0"/>
        <v>0.24722291542184857</v>
      </c>
      <c r="G46" s="1">
        <f t="shared" si="15"/>
        <v>1</v>
      </c>
      <c r="K46" s="1">
        <f t="shared" si="14"/>
        <v>1.596516656232766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Cydric Geyskens</dc:creator>
  <cp:lastModifiedBy>Cydric Geyskens</cp:lastModifiedBy>
  <dcterms:created xsi:type="dcterms:W3CDTF">2026-02-02T16:44:51Z</dcterms:created>
  <dcterms:modified xsi:type="dcterms:W3CDTF">2026-03-04T17:07:36Z</dcterms:modified>
</cp:coreProperties>
</file>